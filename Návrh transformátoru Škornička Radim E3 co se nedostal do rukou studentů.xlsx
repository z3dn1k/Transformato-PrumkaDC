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2" sheetId="1" r:id="rId5"/>
  </sheets>
  <definedNames/>
  <calcPr/>
</workbook>
</file>

<file path=xl/sharedStrings.xml><?xml version="1.0" encoding="utf-8"?>
<sst xmlns="http://schemas.openxmlformats.org/spreadsheetml/2006/main" count="105" uniqueCount="94">
  <si>
    <t>η (%)</t>
  </si>
  <si>
    <t>U1 (V)</t>
  </si>
  <si>
    <t>f (Hz)</t>
  </si>
  <si>
    <t>U21(V)</t>
  </si>
  <si>
    <t>I21 (A)</t>
  </si>
  <si>
    <t>U22 (V)</t>
  </si>
  <si>
    <t>I22 (A)</t>
  </si>
  <si>
    <t>ko</t>
  </si>
  <si>
    <t>kFe</t>
  </si>
  <si>
    <t>J (A/mm2)</t>
  </si>
  <si>
    <t>B (T)</t>
  </si>
  <si>
    <t>ρCu (Ω/m)</t>
  </si>
  <si>
    <t>kostřička (mm)</t>
  </si>
  <si>
    <t>zaoblení (mm)</t>
  </si>
  <si>
    <t>lepenka (mm)</t>
  </si>
  <si>
    <t>P2 (W)</t>
  </si>
  <si>
    <t>ΔP (W)</t>
  </si>
  <si>
    <t>ΔPprim (W)</t>
  </si>
  <si>
    <t>Pi</t>
  </si>
  <si>
    <t>SFeSO</t>
  </si>
  <si>
    <t>--&gt;  --&gt;  --&gt;  --&gt;</t>
  </si>
  <si>
    <t>jádro</t>
  </si>
  <si>
    <t>e (mm)</t>
  </si>
  <si>
    <t>f (mm)</t>
  </si>
  <si>
    <t>c (mm)</t>
  </si>
  <si>
    <t>SFe (cm2)</t>
  </si>
  <si>
    <t>Is (cm)</t>
  </si>
  <si>
    <t>m (kg)</t>
  </si>
  <si>
    <t>ztráty (W/kg)</t>
  </si>
  <si>
    <t>26001/0,35</t>
  </si>
  <si>
    <t>I                           I</t>
  </si>
  <si>
    <t>P1 (W)</t>
  </si>
  <si>
    <t>ΔPsekund (W)</t>
  </si>
  <si>
    <t>V                          V</t>
  </si>
  <si>
    <t>kostřička +</t>
  </si>
  <si>
    <t>d (mm)</t>
  </si>
  <si>
    <t>PFe (W)</t>
  </si>
  <si>
    <t>zaoblení</t>
  </si>
  <si>
    <t>ΔPmag (W)</t>
  </si>
  <si>
    <t>Korekce</t>
  </si>
  <si>
    <t xml:space="preserve">N1 </t>
  </si>
  <si>
    <t>N1 z.</t>
  </si>
  <si>
    <t>Im (A)</t>
  </si>
  <si>
    <t>I1č (A)</t>
  </si>
  <si>
    <t>I1 (A)</t>
  </si>
  <si>
    <t>d1 (mm)</t>
  </si>
  <si>
    <t>d1 (mm) z.</t>
  </si>
  <si>
    <t>d1max (mm)</t>
  </si>
  <si>
    <t>N1</t>
  </si>
  <si>
    <t xml:space="preserve">N21 </t>
  </si>
  <si>
    <t>N21 z.</t>
  </si>
  <si>
    <t>I2č1 (A)</t>
  </si>
  <si>
    <t>d21 (mm)</t>
  </si>
  <si>
    <r>
      <rPr>
        <rFont val="Arial"/>
        <color rgb="FFFFFFFF"/>
        <sz val="10.0"/>
      </rPr>
      <t>d21</t>
    </r>
    <r>
      <rPr>
        <rFont val="Inconsolata, monospace, arial, sans, sans-serif"/>
        <color rgb="FFFFFFFF"/>
        <sz val="11.0"/>
      </rPr>
      <t xml:space="preserve"> (mm) z.</t>
    </r>
  </si>
  <si>
    <t>d21max (mm)</t>
  </si>
  <si>
    <t>N21</t>
  </si>
  <si>
    <t>N22</t>
  </si>
  <si>
    <t>N22 z.</t>
  </si>
  <si>
    <t>I2č2 (A)</t>
  </si>
  <si>
    <t>d22 (mm)</t>
  </si>
  <si>
    <t>d22 (mm) z.</t>
  </si>
  <si>
    <t>d22max (mm)</t>
  </si>
  <si>
    <t>Prim. poč. zav.</t>
  </si>
  <si>
    <t>PPZ z.</t>
  </si>
  <si>
    <t>Prim. poč. vrst.</t>
  </si>
  <si>
    <t>PPV z.</t>
  </si>
  <si>
    <t>rozměr vyn. P.</t>
  </si>
  <si>
    <t>P. min délka z.</t>
  </si>
  <si>
    <t>P. stř délka z.</t>
  </si>
  <si>
    <t>P. max délka z.</t>
  </si>
  <si>
    <t>"R" Prim. (Ω)</t>
  </si>
  <si>
    <t>ztráty v P. (W)</t>
  </si>
  <si>
    <t>1.Sek. poč. zav.</t>
  </si>
  <si>
    <t>1.SPZ z.</t>
  </si>
  <si>
    <t>1.Sek. poč. vrst.</t>
  </si>
  <si>
    <t>1.SPV z.</t>
  </si>
  <si>
    <t>rozměr vyn. 1.S</t>
  </si>
  <si>
    <t>1.S min délka z.</t>
  </si>
  <si>
    <t>1.S stř délka z.</t>
  </si>
  <si>
    <t>1.S max délka z.</t>
  </si>
  <si>
    <t>"R" 1.Sek. (Ω)</t>
  </si>
  <si>
    <t>ztráty v 1.S (W)</t>
  </si>
  <si>
    <t>P1 skutečné (W)</t>
  </si>
  <si>
    <t>účinnost (%)</t>
  </si>
  <si>
    <t>2.Sek. poč. zav.</t>
  </si>
  <si>
    <t>2.SPZ z.</t>
  </si>
  <si>
    <t>2.Sek. poč. vrst.</t>
  </si>
  <si>
    <t>2.SPV z.</t>
  </si>
  <si>
    <t>rozměr vyn. 2.S</t>
  </si>
  <si>
    <t>2.S min délka z.</t>
  </si>
  <si>
    <t>2.S stř délka z.</t>
  </si>
  <si>
    <t>2.S max délka z.</t>
  </si>
  <si>
    <t>"R" 2.Sek. (Ω)</t>
  </si>
  <si>
    <t>ztráty v 2.S (W)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</si>
</sst>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2">
    <font>
      <sz val="10.0"/>
      <color rgb="FF000000"/>
      <name val="Arial"/>
      <scheme val="minor"/>
    </font>
    <font>
      <sz val="12.0"/>
      <color rgb="FF202124"/>
      <name val="Arial"/>
    </font>
    <font>
      <color theme="1"/>
      <name val="Arial"/>
      <scheme val="minor"/>
    </font>
    <font>
      <sz val="12.0"/>
      <color theme="1"/>
      <name val="Arial"/>
    </font>
    <font>
      <color rgb="FF000000"/>
      <name val="Roboto"/>
    </font>
    <font>
      <b/>
      <color theme="1"/>
      <name val="Arial"/>
      <scheme val="minor"/>
    </font>
    <font/>
    <font>
      <color theme="0"/>
      <name val="Arial"/>
      <scheme val="minor"/>
    </font>
    <font>
      <color rgb="FFFFFFFF"/>
      <name val="Arial"/>
      <scheme val="minor"/>
    </font>
    <font>
      <sz val="11.0"/>
      <color rgb="FFFFFFFF"/>
      <name val="Inconsolata"/>
    </font>
    <font>
      <color theme="0"/>
      <name val="Arial"/>
    </font>
    <font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  <fill>
      <patternFill patternType="solid">
        <fgColor rgb="FFF1C232"/>
        <bgColor rgb="FFF1C232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2" numFmtId="2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1" fillId="4" fontId="2" numFmtId="0" xfId="0" applyAlignment="1" applyBorder="1" applyFill="1" applyFont="1">
      <alignment readingOrder="0"/>
    </xf>
    <xf borderId="1" fillId="3" fontId="2" numFmtId="164" xfId="0" applyBorder="1" applyFont="1" applyNumberFormat="1"/>
    <xf borderId="0" fillId="5" fontId="4" numFmtId="0" xfId="0" applyAlignment="1" applyFill="1" applyFont="1">
      <alignment readingOrder="0"/>
    </xf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2" fillId="6" fontId="2" numFmtId="0" xfId="0" applyAlignment="1" applyBorder="1" applyFill="1" applyFont="1">
      <alignment readingOrder="0"/>
    </xf>
    <xf borderId="1" fillId="6" fontId="2" numFmtId="0" xfId="0" applyAlignment="1" applyBorder="1" applyFont="1">
      <alignment readingOrder="0"/>
    </xf>
    <xf borderId="3" fillId="6" fontId="2" numFmtId="0" xfId="0" applyAlignment="1" applyBorder="1" applyFont="1">
      <alignment horizontal="center" readingOrder="0"/>
    </xf>
    <xf borderId="4" fillId="0" fontId="6" numFmtId="0" xfId="0" applyBorder="1" applyFont="1"/>
    <xf borderId="5" fillId="6" fontId="2" numFmtId="0" xfId="0" applyAlignment="1" applyBorder="1" applyFont="1">
      <alignment readingOrder="0"/>
    </xf>
    <xf borderId="1" fillId="6" fontId="2" numFmtId="0" xfId="0" applyBorder="1" applyFont="1"/>
    <xf borderId="3" fillId="6" fontId="2" numFmtId="0" xfId="0" applyAlignment="1" applyBorder="1" applyFont="1">
      <alignment horizontal="center"/>
    </xf>
    <xf borderId="3" fillId="7" fontId="2" numFmtId="0" xfId="0" applyAlignment="1" applyBorder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1" fillId="9" fontId="2" numFmtId="0" xfId="0" applyAlignment="1" applyBorder="1" applyFill="1" applyFont="1">
      <alignment readingOrder="0"/>
    </xf>
    <xf borderId="1" fillId="9" fontId="7" numFmtId="0" xfId="0" applyAlignment="1" applyBorder="1" applyFont="1">
      <alignment readingOrder="0"/>
    </xf>
    <xf borderId="1" fillId="7" fontId="2" numFmtId="0" xfId="0" applyAlignment="1" applyBorder="1" applyFont="1">
      <alignment readingOrder="0"/>
    </xf>
    <xf borderId="1" fillId="7" fontId="7" numFmtId="0" xfId="0" applyAlignment="1" applyBorder="1" applyFont="1">
      <alignment readingOrder="0"/>
    </xf>
    <xf borderId="1" fillId="9" fontId="2" numFmtId="164" xfId="0" applyBorder="1" applyFont="1" applyNumberFormat="1"/>
    <xf borderId="1" fillId="9" fontId="8" numFmtId="0" xfId="0" applyAlignment="1" applyBorder="1" applyFont="1">
      <alignment readingOrder="0"/>
    </xf>
    <xf borderId="1" fillId="7" fontId="2" numFmtId="0" xfId="0" applyBorder="1" applyFont="1"/>
    <xf borderId="1" fillId="7" fontId="8" numFmtId="0" xfId="0" applyAlignment="1" applyBorder="1" applyFont="1">
      <alignment readingOrder="0"/>
    </xf>
    <xf borderId="0" fillId="0" fontId="2" numFmtId="2" xfId="0" applyFont="1" applyNumberFormat="1"/>
    <xf borderId="1" fillId="9" fontId="2" numFmtId="2" xfId="0" applyAlignment="1" applyBorder="1" applyFont="1" applyNumberFormat="1">
      <alignment readingOrder="0"/>
    </xf>
    <xf borderId="1" fillId="9" fontId="9" numFmtId="0" xfId="0" applyAlignment="1" applyBorder="1" applyFont="1">
      <alignment readingOrder="0"/>
    </xf>
    <xf borderId="1" fillId="9" fontId="10" numFmtId="0" xfId="0" applyAlignment="1" applyBorder="1" applyFont="1">
      <alignment horizontal="left" readingOrder="0"/>
    </xf>
    <xf borderId="0" fillId="0" fontId="2" numFmtId="164" xfId="0" applyFont="1" applyNumberFormat="1"/>
    <xf borderId="0" fillId="8" fontId="2" numFmtId="0" xfId="0" applyFont="1"/>
    <xf borderId="1" fillId="10" fontId="2" numFmtId="0" xfId="0" applyAlignment="1" applyBorder="1" applyFill="1" applyFont="1">
      <alignment readingOrder="0"/>
    </xf>
    <xf borderId="1" fillId="10" fontId="8" numFmtId="0" xfId="0" applyAlignment="1" applyBorder="1" applyFont="1">
      <alignment readingOrder="0"/>
    </xf>
    <xf borderId="1" fillId="10" fontId="7" numFmtId="0" xfId="0" applyAlignment="1" applyBorder="1" applyFont="1">
      <alignment readingOrder="0"/>
    </xf>
    <xf borderId="1" fillId="10" fontId="2" numFmtId="164" xfId="0" applyBorder="1" applyFont="1" applyNumberFormat="1"/>
    <xf borderId="1" fillId="10" fontId="2" numFmtId="0" xfId="0" applyBorder="1" applyFont="1"/>
    <xf borderId="1" fillId="10" fontId="11" numFmtId="0" xfId="0" applyAlignment="1" applyBorder="1" applyFont="1">
      <alignment horizontal="left" readingOrder="0"/>
    </xf>
    <xf borderId="1" fillId="11" fontId="7" numFmtId="0" xfId="0" applyAlignment="1" applyBorder="1" applyFill="1" applyFont="1">
      <alignment readingOrder="0"/>
    </xf>
    <xf borderId="1" fillId="12" fontId="7" numFmtId="0" xfId="0" applyAlignment="1" applyBorder="1" applyFill="1" applyFont="1">
      <alignment readingOrder="0"/>
    </xf>
    <xf borderId="1" fillId="10" fontId="2" numFmtId="1" xfId="0" applyBorder="1" applyFont="1" applyNumberFormat="1"/>
    <xf borderId="1" fillId="10" fontId="2" numFmtId="164" xfId="0" applyAlignment="1" applyBorder="1" applyFont="1" applyNumberFormat="1">
      <alignment readingOrder="0"/>
    </xf>
    <xf borderId="1" fillId="11" fontId="7" numFmtId="164" xfId="0" applyBorder="1" applyFont="1" applyNumberFormat="1"/>
    <xf borderId="1" fillId="12" fontId="7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38"/>
    <col customWidth="1" min="13" max="13" width="13.25"/>
  </cols>
  <sheetData>
    <row r="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</row>
    <row r="4">
      <c r="B4" s="2">
        <v>90.0</v>
      </c>
      <c r="C4" s="2">
        <v>230.0</v>
      </c>
      <c r="D4" s="3">
        <v>50.0</v>
      </c>
      <c r="E4" s="2">
        <v>21.0</v>
      </c>
      <c r="F4" s="2">
        <v>2.9</v>
      </c>
      <c r="G4" s="2">
        <v>12.5</v>
      </c>
      <c r="H4" s="2">
        <v>2.15</v>
      </c>
      <c r="I4" s="2">
        <v>0.3</v>
      </c>
      <c r="J4" s="2">
        <v>0.97</v>
      </c>
      <c r="K4" s="2">
        <v>2.0</v>
      </c>
      <c r="L4" s="2">
        <v>1.6</v>
      </c>
      <c r="M4" s="2">
        <v>0.0178</v>
      </c>
      <c r="N4" s="2">
        <v>1.0</v>
      </c>
      <c r="O4" s="2">
        <v>2.0</v>
      </c>
      <c r="P4" s="2">
        <v>0.2</v>
      </c>
    </row>
    <row r="6">
      <c r="B6" s="4" t="s">
        <v>15</v>
      </c>
      <c r="C6" s="4" t="s">
        <v>16</v>
      </c>
      <c r="D6" s="4" t="s">
        <v>17</v>
      </c>
      <c r="E6" s="4" t="s">
        <v>18</v>
      </c>
      <c r="F6" s="5" t="s">
        <v>19</v>
      </c>
      <c r="G6" s="6" t="s">
        <v>20</v>
      </c>
      <c r="H6" s="7" t="s">
        <v>21</v>
      </c>
      <c r="I6" s="6" t="s">
        <v>20</v>
      </c>
      <c r="J6" s="7" t="s">
        <v>22</v>
      </c>
      <c r="K6" s="7" t="s">
        <v>23</v>
      </c>
      <c r="L6" s="7" t="s">
        <v>24</v>
      </c>
      <c r="M6" s="7" t="s">
        <v>25</v>
      </c>
      <c r="N6" s="7" t="s">
        <v>26</v>
      </c>
      <c r="O6" s="7" t="s">
        <v>27</v>
      </c>
      <c r="P6" s="7" t="s">
        <v>28</v>
      </c>
    </row>
    <row r="7">
      <c r="B7" s="8">
        <f>F4*E4+G4*H4</f>
        <v>87.775</v>
      </c>
      <c r="C7" s="8">
        <f>B10/10</f>
        <v>9.752777778</v>
      </c>
      <c r="D7" s="8">
        <f>C7*40%</f>
        <v>3.901111111</v>
      </c>
      <c r="E7" s="8">
        <f>B7+D7</f>
        <v>91.67611111</v>
      </c>
      <c r="F7" s="8">
        <f>E7/(2.22*D4*L4*K4*I4*J4*10^-2)</f>
        <v>88.69318201</v>
      </c>
      <c r="G7" s="9"/>
      <c r="H7" s="7" t="s">
        <v>29</v>
      </c>
      <c r="J7" s="7">
        <v>26.0</v>
      </c>
      <c r="K7" s="7">
        <v>76.0</v>
      </c>
      <c r="L7" s="7">
        <v>15.0</v>
      </c>
      <c r="M7" s="7">
        <v>4.5</v>
      </c>
      <c r="N7" s="7">
        <v>27.0</v>
      </c>
      <c r="O7" s="7">
        <v>0.85</v>
      </c>
      <c r="P7" s="7">
        <v>2.5</v>
      </c>
    </row>
    <row r="8">
      <c r="B8" s="6"/>
      <c r="D8" s="6"/>
      <c r="O8" s="10" t="s">
        <v>30</v>
      </c>
    </row>
    <row r="9">
      <c r="B9" s="4" t="s">
        <v>31</v>
      </c>
      <c r="D9" s="4" t="s">
        <v>32</v>
      </c>
      <c r="O9" s="11" t="s">
        <v>33</v>
      </c>
    </row>
    <row r="10">
      <c r="B10" s="8">
        <f>B7/B4*100</f>
        <v>97.52777778</v>
      </c>
      <c r="D10" s="8">
        <f>C7*40%</f>
        <v>3.901111111</v>
      </c>
      <c r="H10" s="12" t="s">
        <v>34</v>
      </c>
      <c r="I10" s="6" t="s">
        <v>20</v>
      </c>
      <c r="J10" s="13" t="s">
        <v>22</v>
      </c>
      <c r="K10" s="13" t="s">
        <v>23</v>
      </c>
      <c r="L10" s="13" t="s">
        <v>24</v>
      </c>
      <c r="M10" s="13" t="s">
        <v>35</v>
      </c>
      <c r="O10" s="14" t="s">
        <v>36</v>
      </c>
      <c r="P10" s="15"/>
    </row>
    <row r="11">
      <c r="D11" s="6"/>
      <c r="H11" s="16" t="s">
        <v>37</v>
      </c>
      <c r="J11" s="17">
        <f>J7-(2*N4)</f>
        <v>24</v>
      </c>
      <c r="K11" s="13">
        <f>K7-(2*O4)-(2*N4)</f>
        <v>70</v>
      </c>
      <c r="L11" s="17">
        <f>L7+(2*N4)</f>
        <v>17</v>
      </c>
      <c r="M11" s="13">
        <v>32.0</v>
      </c>
      <c r="O11" s="18">
        <f>O7*P7</f>
        <v>2.125</v>
      </c>
      <c r="P11" s="15"/>
    </row>
    <row r="12">
      <c r="D12" s="4" t="s">
        <v>38</v>
      </c>
    </row>
    <row r="13">
      <c r="D13" s="8">
        <f>C7*20%</f>
        <v>1.950555556</v>
      </c>
    </row>
    <row r="14">
      <c r="K14" s="19" t="s">
        <v>39</v>
      </c>
      <c r="L14" s="15"/>
    </row>
    <row r="15">
      <c r="B15" s="6"/>
      <c r="C15" s="6"/>
      <c r="K15" s="20"/>
      <c r="L15" s="20"/>
    </row>
    <row r="16">
      <c r="B16" s="21" t="s">
        <v>40</v>
      </c>
      <c r="C16" s="22" t="s">
        <v>41</v>
      </c>
      <c r="D16" s="21" t="s">
        <v>42</v>
      </c>
      <c r="E16" s="21" t="s">
        <v>43</v>
      </c>
      <c r="F16" s="21" t="s">
        <v>44</v>
      </c>
      <c r="G16" s="21" t="s">
        <v>45</v>
      </c>
      <c r="H16" s="22" t="s">
        <v>46</v>
      </c>
      <c r="I16" s="21" t="s">
        <v>47</v>
      </c>
      <c r="K16" s="23" t="s">
        <v>48</v>
      </c>
      <c r="L16" s="24" t="s">
        <v>41</v>
      </c>
    </row>
    <row r="17">
      <c r="B17" s="25">
        <f>C4/(4.44*L4*D4*J4*M7*10^-4)</f>
        <v>1483.442205</v>
      </c>
      <c r="C17" s="26">
        <v>1484.0</v>
      </c>
      <c r="D17" s="25">
        <f>(4*N7)/C17</f>
        <v>0.07277628032</v>
      </c>
      <c r="E17" s="25">
        <f>E20+E23</f>
        <v>0.3831199461</v>
      </c>
      <c r="F17" s="25">
        <f>SQRT((D17*D17)+(E17*E17))</f>
        <v>0.3899708708</v>
      </c>
      <c r="G17" s="25">
        <f>SQRT((4*F17)/(PI()*K4))</f>
        <v>0.4982601399</v>
      </c>
      <c r="H17" s="26">
        <v>0.5</v>
      </c>
      <c r="I17" s="21">
        <v>0.552</v>
      </c>
      <c r="K17" s="27">
        <f>0.95*C17</f>
        <v>1409.8</v>
      </c>
      <c r="L17" s="28">
        <v>1410.0</v>
      </c>
    </row>
    <row r="18">
      <c r="B18" s="29"/>
      <c r="E18" s="6"/>
    </row>
    <row r="19">
      <c r="B19" s="30" t="s">
        <v>49</v>
      </c>
      <c r="C19" s="22" t="s">
        <v>50</v>
      </c>
      <c r="E19" s="21" t="s">
        <v>51</v>
      </c>
      <c r="G19" s="21" t="s">
        <v>52</v>
      </c>
      <c r="H19" s="31" t="s">
        <v>53</v>
      </c>
      <c r="I19" s="21" t="s">
        <v>54</v>
      </c>
      <c r="K19" s="23" t="s">
        <v>55</v>
      </c>
      <c r="L19" s="24" t="s">
        <v>50</v>
      </c>
    </row>
    <row r="20">
      <c r="B20" s="25">
        <f>E4/(4.44*L4*D4*J4*M7*10^-4)</f>
        <v>135.4447231</v>
      </c>
      <c r="C20" s="26">
        <v>136.0</v>
      </c>
      <c r="E20" s="25">
        <f>(F4*C20)/C17</f>
        <v>0.2657681941</v>
      </c>
      <c r="G20" s="25">
        <f>SQRT((4*F4)/(PI()*K4))</f>
        <v>1.358748446</v>
      </c>
      <c r="H20" s="26">
        <v>1.4</v>
      </c>
      <c r="I20" s="21">
        <v>1.495</v>
      </c>
      <c r="K20" s="27">
        <f>1.05*C20</f>
        <v>142.8</v>
      </c>
      <c r="L20" s="28">
        <v>143.0</v>
      </c>
    </row>
    <row r="21">
      <c r="B21" s="29"/>
    </row>
    <row r="22">
      <c r="B22" s="30" t="s">
        <v>56</v>
      </c>
      <c r="C22" s="22" t="s">
        <v>57</v>
      </c>
      <c r="E22" s="21" t="s">
        <v>58</v>
      </c>
      <c r="G22" s="21" t="s">
        <v>59</v>
      </c>
      <c r="H22" s="32" t="s">
        <v>60</v>
      </c>
      <c r="I22" s="21" t="s">
        <v>61</v>
      </c>
      <c r="K22" s="23" t="s">
        <v>56</v>
      </c>
      <c r="L22" s="24" t="s">
        <v>57</v>
      </c>
    </row>
    <row r="23">
      <c r="B23" s="25">
        <f>G4/(4.44*L4*D4*J4*M7*10^-4)</f>
        <v>80.62185897</v>
      </c>
      <c r="C23" s="26">
        <v>81.0</v>
      </c>
      <c r="E23" s="25">
        <f>(H4*C23)/C17</f>
        <v>0.117351752</v>
      </c>
      <c r="G23" s="25">
        <f>SQRT((4*H4)/(PI()*K4))</f>
        <v>1.169928421</v>
      </c>
      <c r="H23" s="26">
        <v>1.18</v>
      </c>
      <c r="I23" s="21">
        <v>1.275</v>
      </c>
      <c r="K23" s="27">
        <f>1.05*C23</f>
        <v>85.05</v>
      </c>
      <c r="L23" s="28">
        <v>86.0</v>
      </c>
    </row>
    <row r="25">
      <c r="D25" s="33"/>
      <c r="H25" s="34"/>
      <c r="I25" s="34"/>
      <c r="J25" s="34"/>
      <c r="K25" s="34"/>
    </row>
    <row r="26">
      <c r="B26" s="35" t="s">
        <v>62</v>
      </c>
      <c r="C26" s="36" t="s">
        <v>63</v>
      </c>
      <c r="D26" s="35" t="s">
        <v>64</v>
      </c>
      <c r="E26" s="37" t="s">
        <v>65</v>
      </c>
      <c r="F26" s="35" t="s">
        <v>66</v>
      </c>
      <c r="G26" s="35" t="s">
        <v>67</v>
      </c>
      <c r="H26" s="35" t="s">
        <v>68</v>
      </c>
      <c r="I26" s="35" t="s">
        <v>69</v>
      </c>
      <c r="J26" s="35" t="s">
        <v>70</v>
      </c>
      <c r="K26" s="35" t="s">
        <v>71</v>
      </c>
    </row>
    <row r="27">
      <c r="B27" s="38">
        <f>K11/I17</f>
        <v>126.8115942</v>
      </c>
      <c r="C27" s="36">
        <v>127.0</v>
      </c>
      <c r="D27" s="38">
        <f>C17/C27</f>
        <v>11.68503937</v>
      </c>
      <c r="E27" s="36">
        <v>12.0</v>
      </c>
      <c r="F27" s="39">
        <f>(I17+P4)*E27</f>
        <v>9.024</v>
      </c>
      <c r="G27" s="39">
        <f>2*(L11+M11)</f>
        <v>98</v>
      </c>
      <c r="H27" s="39">
        <f>(G27+I27)/2</f>
        <v>131.088</v>
      </c>
      <c r="I27" s="35">
        <f>G27+(11*(4*(2*(I17+P4))))</f>
        <v>164.176</v>
      </c>
      <c r="J27" s="38">
        <f>(M4*H27*10^-3*L17)/((PI()*H17*H17)/4)</f>
        <v>16.75606986</v>
      </c>
      <c r="K27" s="38">
        <f>J27*F17*F17</f>
        <v>2.548217529</v>
      </c>
    </row>
    <row r="29">
      <c r="B29" s="35" t="s">
        <v>72</v>
      </c>
      <c r="C29" s="36" t="s">
        <v>73</v>
      </c>
      <c r="D29" s="35" t="s">
        <v>74</v>
      </c>
      <c r="E29" s="37" t="s">
        <v>75</v>
      </c>
      <c r="F29" s="40" t="s">
        <v>76</v>
      </c>
      <c r="G29" s="35" t="s">
        <v>77</v>
      </c>
      <c r="H29" s="35" t="s">
        <v>78</v>
      </c>
      <c r="I29" s="35" t="s">
        <v>79</v>
      </c>
      <c r="J29" s="35" t="s">
        <v>80</v>
      </c>
      <c r="K29" s="35" t="s">
        <v>81</v>
      </c>
      <c r="M29" s="41" t="s">
        <v>82</v>
      </c>
      <c r="N29" s="6" t="s">
        <v>20</v>
      </c>
      <c r="O29" s="42" t="s">
        <v>83</v>
      </c>
    </row>
    <row r="30">
      <c r="B30" s="38">
        <f>K11/I20</f>
        <v>46.82274247</v>
      </c>
      <c r="C30" s="36">
        <v>47.0</v>
      </c>
      <c r="D30" s="38">
        <f>C20/C30</f>
        <v>2.893617021</v>
      </c>
      <c r="E30" s="36">
        <v>3.0</v>
      </c>
      <c r="F30" s="39">
        <f>E30*(P4+I20)</f>
        <v>5.085</v>
      </c>
      <c r="G30" s="43">
        <f>2*(L11+M11)</f>
        <v>98</v>
      </c>
      <c r="H30" s="38">
        <f>(G30+I30)/2</f>
        <v>111.56</v>
      </c>
      <c r="I30" s="44">
        <f>G30+(2*(4*(2*(I20+P4))))</f>
        <v>125.12</v>
      </c>
      <c r="J30" s="38">
        <f>(M4*H30*10^-3*L20)/((PI()*H20*H20)/4)</f>
        <v>0.1844669608</v>
      </c>
      <c r="K30" s="38">
        <f>J30*F4*F4</f>
        <v>1.551367141</v>
      </c>
      <c r="M30" s="45">
        <f>B7+O11+K30+K27+K33</f>
        <v>94.93509739</v>
      </c>
      <c r="N30" s="6" t="s">
        <v>20</v>
      </c>
      <c r="O30" s="46">
        <f>(B7/M30)*100</f>
        <v>92.45790273</v>
      </c>
    </row>
    <row r="32">
      <c r="B32" s="35" t="s">
        <v>84</v>
      </c>
      <c r="C32" s="36" t="s">
        <v>85</v>
      </c>
      <c r="D32" s="35" t="s">
        <v>86</v>
      </c>
      <c r="E32" s="37" t="s">
        <v>87</v>
      </c>
      <c r="F32" s="40" t="s">
        <v>88</v>
      </c>
      <c r="G32" s="35" t="s">
        <v>89</v>
      </c>
      <c r="H32" s="35" t="s">
        <v>90</v>
      </c>
      <c r="I32" s="35" t="s">
        <v>91</v>
      </c>
      <c r="J32" s="35" t="s">
        <v>92</v>
      </c>
      <c r="K32" s="35" t="s">
        <v>93</v>
      </c>
    </row>
    <row r="33">
      <c r="B33" s="38">
        <f>K11/I23</f>
        <v>54.90196078</v>
      </c>
      <c r="C33" s="36">
        <v>55.0</v>
      </c>
      <c r="D33" s="38">
        <f>C23/C33</f>
        <v>1.472727273</v>
      </c>
      <c r="E33" s="36">
        <v>2.0</v>
      </c>
      <c r="F33" s="39">
        <f>(P4+I23)*E33</f>
        <v>2.95</v>
      </c>
      <c r="G33" s="38">
        <f>I30+(4*(2*(I20+P4)))</f>
        <v>138.68</v>
      </c>
      <c r="H33" s="38">
        <f>(G33+I33)/2</f>
        <v>144.58</v>
      </c>
      <c r="I33" s="38">
        <f>G33+(4*(2*(I23+P4)))</f>
        <v>150.48</v>
      </c>
      <c r="J33" s="44">
        <f>(M4*H33*10^-3*L23)/((PI()*H23*H23)/4)</f>
        <v>0.2023824169</v>
      </c>
      <c r="K33" s="38">
        <f>J33*H4*H4</f>
        <v>0.935512722</v>
      </c>
    </row>
    <row r="37">
      <c r="E37" s="6"/>
      <c r="F37" s="6"/>
      <c r="G37" s="6"/>
      <c r="H37" s="6"/>
      <c r="I37" s="6"/>
      <c r="J37" s="6"/>
    </row>
  </sheetData>
  <mergeCells count="5">
    <mergeCell ref="O8:P8"/>
    <mergeCell ref="O9:P9"/>
    <mergeCell ref="O10:P10"/>
    <mergeCell ref="O11:P11"/>
    <mergeCell ref="K14:L14"/>
  </mergeCells>
  <drawing r:id="rId1"/>
</worksheet>
</file>